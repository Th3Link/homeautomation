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hubline" sheetId="1" state="visible" r:id="rId2"/>
  </sheets>
  <definedNames>
    <definedName function="false" hidden="false" localSheetId="0" name="BoardQty" vbProcedure="false">canhubline!$G$1</definedName>
    <definedName function="false" hidden="false" localSheetId="0" name="TotalCost" vbProcedure="false">canhubline!$G$3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6" authorId="0">
      <text>
        <r>
          <rPr>
            <sz val="11"/>
            <color rgb="FF000000"/>
            <rFont val="Calibri"/>
            <family val="2"/>
            <charset val="1"/>
          </rPr>
          <t xml:space="preserve">Schematic identifier for each part.</t>
        </r>
      </text>
    </comment>
    <comment ref="B6" authorId="0">
      <text>
        <r>
          <rPr>
            <sz val="11"/>
            <color rgb="FF000000"/>
            <rFont val="Calibri"/>
            <family val="2"/>
            <charset val="1"/>
          </rPr>
          <t xml:space="preserve">Value of each part.</t>
        </r>
      </text>
    </comment>
    <comment ref="C6" authorId="0">
      <text>
        <r>
          <rPr>
            <sz val="11"/>
            <color rgb="FF000000"/>
            <rFont val="Calibri"/>
            <family val="2"/>
            <charset val="1"/>
          </rPr>
          <t xml:space="preserve">PCB footprint for each part.</t>
        </r>
      </text>
    </comment>
    <comment ref="D6" authorId="0">
      <text>
        <r>
          <rPr>
            <sz val="11"/>
            <color rgb="FF000000"/>
            <rFont val="Calibri"/>
            <family val="2"/>
            <charset val="1"/>
          </rPr>
          <t xml:space="preserve">Manufacturer number for each part and link to it's datasheet (Ctrl-click).
Purple -&gt; Obsolete part detected by one of the distributors.</t>
        </r>
      </text>
    </comment>
    <comment ref="E6" authorId="0">
      <text>
        <r>
          <rPr>
            <sz val="11"/>
            <color rgb="FF000000"/>
            <rFont val="Calibri"/>
            <family val="2"/>
            <charset val="1"/>
          </rPr>
          <t xml:space="preserve">Total number of each part needed.
Gray -&gt; No manf# provided.
Red -&gt; No parts available.
Orange -&gt; Not enough parts available.
Yellow -&gt; Parts available, but haven't purchased enough.</t>
        </r>
      </text>
    </comment>
    <comment ref="F3" authorId="0">
      <text>
        <r>
          <rPr>
            <sz val="11"/>
            <color rgb="FF000000"/>
            <rFont val="Calibri"/>
            <family val="2"/>
            <charset val="1"/>
          </rPr>
          <t xml:space="preserve">Use the minimum extend price across distributors not taking account available quantities.</t>
        </r>
      </text>
    </comment>
    <comment ref="F6" authorId="0">
      <text>
        <r>
          <rPr>
            <sz val="11"/>
            <color rgb="FF000000"/>
            <rFont val="Calibri"/>
            <family val="2"/>
            <charset val="1"/>
          </rPr>
          <t xml:space="preserve">Minimum unit price for each part across all distributors.</t>
        </r>
      </text>
    </comment>
    <comment ref="G6" authorId="0">
      <text>
        <r>
          <rPr>
            <sz val="11"/>
            <color rgb="FF000000"/>
            <rFont val="Calibri"/>
            <family val="2"/>
            <charset val="1"/>
          </rPr>
          <t xml:space="preserve">Minimum extended price for each part across all distributors.</t>
        </r>
      </text>
    </comment>
  </commentList>
</comments>
</file>

<file path=xl/sharedStrings.xml><?xml version="1.0" encoding="utf-8"?>
<sst xmlns="http://schemas.openxmlformats.org/spreadsheetml/2006/main" count="32" uniqueCount="29">
  <si>
    <t xml:space="preserve">Prj:</t>
  </si>
  <si>
    <t xml:space="preserve">canhubline.xml</t>
  </si>
  <si>
    <t xml:space="preserve">Board Qty:</t>
  </si>
  <si>
    <t xml:space="preserve">Co.:</t>
  </si>
  <si>
    <t xml:space="preserve">Unit Cost:</t>
  </si>
  <si>
    <t xml:space="preserve">Prj date:</t>
  </si>
  <si>
    <t xml:space="preserve">Thu 17 Nov 2022 08:26:32 PM CET</t>
  </si>
  <si>
    <t xml:space="preserve">Total Cost:</t>
  </si>
  <si>
    <t xml:space="preserve">$ date:</t>
  </si>
  <si>
    <t xml:space="preserve">2022-11-17 20:26:32</t>
  </si>
  <si>
    <t xml:space="preserve">Global Part Info</t>
  </si>
  <si>
    <t xml:space="preserve">Refs</t>
  </si>
  <si>
    <t xml:space="preserve">Value</t>
  </si>
  <si>
    <t xml:space="preserve">Footprint</t>
  </si>
  <si>
    <t xml:space="preserve">Manf#</t>
  </si>
  <si>
    <t xml:space="preserve">Qty</t>
  </si>
  <si>
    <t xml:space="preserve">Unit$</t>
  </si>
  <si>
    <t xml:space="preserve">Ext$</t>
  </si>
  <si>
    <t xml:space="preserve">H1-H4</t>
  </si>
  <si>
    <t xml:space="preserve">MountingHole</t>
  </si>
  <si>
    <t xml:space="preserve">MountingHole_3.2mm_M3</t>
  </si>
  <si>
    <t xml:space="preserve">J1</t>
  </si>
  <si>
    <t xml:space="preserve">WAGO250-205</t>
  </si>
  <si>
    <t xml:space="preserve">https://cdn-reichelt.de/documents/datenblatt/C151/WAGO250-20X.pdf</t>
  </si>
  <si>
    <t xml:space="preserve">J2UPLINK1,J3-J13</t>
  </si>
  <si>
    <t xml:space="preserve">RJ45-CAN</t>
  </si>
  <si>
    <t xml:space="preserve">RJ45_OST_PJ012-8P8CX_Vertical</t>
  </si>
  <si>
    <t xml:space="preserve">PCB</t>
  </si>
  <si>
    <t xml:space="preserve">KiCost® v1.1.12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</si>
</sst>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3"/>
      <color rgb="FF008000"/>
      <name val="Calibri"/>
      <family val="2"/>
      <charset val="1"/>
    </font>
    <font>
      <b val="true"/>
      <sz val="13"/>
      <color rgb="FFFF0000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03030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AAAAA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030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cdn-reichelt.de/documents/datenblatt/C151/WAGO250-20X.pdf" TargetMode="Externa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H7" activePane="bottomLeft" state="frozen"/>
      <selection pane="topLeft" activeCell="A1" activeCellId="0" sqref="A1"/>
      <selection pane="bottomLeft" activeCell="G9" activeCellId="0" sqref="G9:G10"/>
    </sheetView>
  </sheetViews>
  <sheetFormatPr defaultColWidth="8.59765625" defaultRowHeight="15" zeroHeight="false" outlineLevelRow="0" outlineLevelCol="2"/>
  <cols>
    <col collapsed="false" customWidth="true" hidden="false" outlineLevel="0" max="1" min="1" style="0" width="17.71"/>
    <col collapsed="false" customWidth="true" hidden="false" outlineLevel="0" max="2" min="2" style="0" width="13.71"/>
    <col collapsed="false" customWidth="true" hidden="false" outlineLevel="2" max="3" min="3" style="0" width="30.71"/>
    <col collapsed="false" customWidth="true" hidden="false" outlineLevel="1" max="4" min="4" style="0" width="33.71"/>
    <col collapsed="false" customWidth="true" hidden="false" outlineLevel="1" max="5" min="5" style="0" width="9.14"/>
    <col collapsed="false" customWidth="true" hidden="false" outlineLevel="0" max="6" min="6" style="0" width="15.72"/>
    <col collapsed="false" customWidth="true" hidden="false" outlineLevel="0" max="7" min="7" style="0" width="16.72"/>
  </cols>
  <sheetData>
    <row r="1" customFormat="false" ht="15" hidden="false" customHeight="false" outlineLevel="0" collapsed="false">
      <c r="A1" s="1" t="s">
        <v>0</v>
      </c>
      <c r="B1" s="2" t="s">
        <v>1</v>
      </c>
      <c r="F1" s="3" t="s">
        <v>2</v>
      </c>
      <c r="G1" s="3" t="n">
        <v>1</v>
      </c>
    </row>
    <row r="2" customFormat="false" ht="15" hidden="false" customHeight="false" outlineLevel="0" collapsed="false">
      <c r="A2" s="1" t="s">
        <v>3</v>
      </c>
      <c r="B2" s="2"/>
      <c r="F2" s="1" t="s">
        <v>4</v>
      </c>
      <c r="G2" s="4" t="n">
        <f aca="false">TotalCost/BoardQty</f>
        <v>3.7676</v>
      </c>
    </row>
    <row r="3" customFormat="false" ht="15" hidden="false" customHeight="false" outlineLevel="0" collapsed="false">
      <c r="A3" s="1" t="s">
        <v>5</v>
      </c>
      <c r="B3" s="2" t="s">
        <v>6</v>
      </c>
      <c r="F3" s="1" t="s">
        <v>7</v>
      </c>
      <c r="G3" s="5" t="n">
        <f aca="false">SUM(G7:G10)</f>
        <v>3.7676</v>
      </c>
    </row>
    <row r="4" customFormat="false" ht="15" hidden="false" customHeight="false" outlineLevel="0" collapsed="false">
      <c r="A4" s="1" t="s">
        <v>8</v>
      </c>
      <c r="B4" s="2" t="s">
        <v>9</v>
      </c>
    </row>
    <row r="5" customFormat="false" ht="15" hidden="false" customHeight="false" outlineLevel="0" collapsed="false">
      <c r="A5" s="6" t="s">
        <v>10</v>
      </c>
      <c r="B5" s="6"/>
      <c r="C5" s="6"/>
      <c r="D5" s="6"/>
      <c r="E5" s="6"/>
      <c r="F5" s="6"/>
      <c r="G5" s="6"/>
    </row>
    <row r="6" customFormat="false" ht="15" hidden="false" customHeight="false" outlineLevel="0" collapsed="false">
      <c r="A6" s="7" t="s">
        <v>11</v>
      </c>
      <c r="B6" s="7" t="s">
        <v>12</v>
      </c>
      <c r="C6" s="7" t="s">
        <v>13</v>
      </c>
      <c r="D6" s="7" t="s">
        <v>14</v>
      </c>
      <c r="E6" s="7" t="s">
        <v>15</v>
      </c>
      <c r="F6" s="7" t="s">
        <v>16</v>
      </c>
      <c r="G6" s="7" t="s">
        <v>17</v>
      </c>
    </row>
    <row r="7" customFormat="false" ht="15" hidden="false" customHeight="false" outlineLevel="0" collapsed="false">
      <c r="A7" s="8" t="s">
        <v>18</v>
      </c>
      <c r="B7" s="8" t="s">
        <v>19</v>
      </c>
      <c r="C7" s="8" t="s">
        <v>20</v>
      </c>
      <c r="E7" s="9" t="n">
        <f aca="false">CEILING(BoardQty*4,1)</f>
        <v>4</v>
      </c>
      <c r="G7" s="10" t="str">
        <f aca="false">IF(AND(ISNUMBER(E7),ISNUMBER(F7)),E7*F7,"")</f>
        <v/>
      </c>
    </row>
    <row r="8" customFormat="false" ht="45" hidden="false" customHeight="true" outlineLevel="0" collapsed="false">
      <c r="A8" s="8" t="s">
        <v>21</v>
      </c>
      <c r="B8" s="8" t="s">
        <v>22</v>
      </c>
      <c r="C8" s="8" t="s">
        <v>22</v>
      </c>
      <c r="D8" s="8" t="s">
        <v>23</v>
      </c>
      <c r="E8" s="9" t="n">
        <f aca="false">CEILING(BoardQty*1,1)</f>
        <v>1</v>
      </c>
      <c r="F8" s="0" t="n">
        <v>0.99</v>
      </c>
      <c r="G8" s="10" t="n">
        <f aca="false">IF(AND(ISNUMBER(E8),ISNUMBER(F8)),E8*F8,"")</f>
        <v>0.99</v>
      </c>
    </row>
    <row r="9" customFormat="false" ht="16.4" hidden="false" customHeight="false" outlineLevel="0" collapsed="false">
      <c r="A9" s="8" t="s">
        <v>24</v>
      </c>
      <c r="B9" s="8" t="s">
        <v>25</v>
      </c>
      <c r="C9" s="8" t="s">
        <v>26</v>
      </c>
      <c r="E9" s="9" t="n">
        <f aca="false">CEILING(BoardQty*12,1)</f>
        <v>12</v>
      </c>
      <c r="F9" s="0" t="n">
        <v>0.14</v>
      </c>
      <c r="G9" s="10" t="n">
        <f aca="false">IF(AND(ISNUMBER(E9),ISNUMBER(F9)),E9*F9,"")</f>
        <v>1.68</v>
      </c>
    </row>
    <row r="10" customFormat="false" ht="16.4" hidden="false" customHeight="false" outlineLevel="0" collapsed="false">
      <c r="A10" s="0" t="s">
        <v>27</v>
      </c>
      <c r="B10" s="0" t="s">
        <v>27</v>
      </c>
      <c r="C10" s="0" t="s">
        <v>27</v>
      </c>
      <c r="E10" s="9" t="n">
        <f aca="false">CEILING(BoardQty*1,1)</f>
        <v>1</v>
      </c>
      <c r="F10" s="0" t="n">
        <f aca="false">0.74+0.3576</f>
        <v>1.0976</v>
      </c>
      <c r="G10" s="10" t="n">
        <f aca="false">IF(AND(ISNUMBER(E10),ISNUMBER(F10)),E10*F10,"")</f>
        <v>1.0976</v>
      </c>
    </row>
    <row r="12" customFormat="false" ht="15" hidden="false" customHeight="false" outlineLevel="0" collapsed="false">
      <c r="A12" s="2" t="s">
        <v>28</v>
      </c>
    </row>
  </sheetData>
  <mergeCells count="1">
    <mergeCell ref="A5:G5"/>
  </mergeCells>
  <conditionalFormatting sqref="E7">
    <cfRule type="expression" priority="2" aboveAverage="0" equalAverage="0" bottom="0" percent="0" rank="0" text="" dxfId="0">
      <formula>AND(ISBLANK(D7),TRUE())</formula>
    </cfRule>
  </conditionalFormatting>
  <conditionalFormatting sqref="E8">
    <cfRule type="expression" priority="3" aboveAverage="0" equalAverage="0" bottom="0" percent="0" rank="0" text="" dxfId="0">
      <formula>AND(ISBLANK(D8),TRUE())</formula>
    </cfRule>
  </conditionalFormatting>
  <conditionalFormatting sqref="E9:E10">
    <cfRule type="expression" priority="4" aboveAverage="0" equalAverage="0" bottom="0" percent="0" rank="0" text="" dxfId="0">
      <formula>AND(ISBLANK(D9),TRUE())</formula>
    </cfRule>
  </conditionalFormatting>
  <hyperlinks>
    <hyperlink ref="D8" r:id="rId2" display="https://cdn-reichelt.de/documents/datenblatt/C151/WAGO250-20X.pd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LibreOffice/7.4.2.3$Linux_X86_64 LibreOffice_project/40$Build-3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2022-11-17T19:26:32Z</dcterms:created>
  <dc:creator/>
  <dc:description/>
  <dc:language>de-DE</dc:language>
  <cp:lastModifiedBy/>
  <dcterms:modified xsi:type="dcterms:W3CDTF">2022-11-17T20:38:59Z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