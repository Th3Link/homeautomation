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qtt_gateway" sheetId="1" state="visible" r:id="rId2"/>
  </sheets>
  <definedNames>
    <definedName function="false" hidden="false" localSheetId="0" name="BoardQty" vbProcedure="false">mqtt_gateway!$G$1</definedName>
    <definedName function="false" hidden="false" localSheetId="0" name="TotalCost" vbProcedure="false">mqtt_gateway!$G$3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6" authorId="0">
      <text>
        <r>
          <rPr>
            <sz val="11"/>
            <color rgb="FF000000"/>
            <rFont val="Calibri"/>
            <family val="2"/>
            <charset val="1"/>
          </rPr>
          <t xml:space="preserve">Schematic identifier for each part.</t>
        </r>
      </text>
    </comment>
    <comment ref="B6" authorId="0">
      <text>
        <r>
          <rPr>
            <sz val="11"/>
            <color rgb="FF000000"/>
            <rFont val="Calibri"/>
            <family val="2"/>
            <charset val="1"/>
          </rPr>
          <t xml:space="preserve">Value of each part.</t>
        </r>
      </text>
    </comment>
    <comment ref="C6" authorId="0">
      <text>
        <r>
          <rPr>
            <sz val="11"/>
            <color rgb="FF000000"/>
            <rFont val="Calibri"/>
            <family val="2"/>
            <charset val="1"/>
          </rPr>
          <t xml:space="preserve">PCB footprint for each part.</t>
        </r>
      </text>
    </comment>
    <comment ref="D6" authorId="0">
      <text>
        <r>
          <rPr>
            <sz val="11"/>
            <color rgb="FF000000"/>
            <rFont val="Calibri"/>
            <family val="2"/>
            <charset val="1"/>
          </rPr>
          <t xml:space="preserve"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11"/>
            <color rgb="FF000000"/>
            <rFont val="Calibri"/>
            <family val="2"/>
            <charset val="1"/>
          </rPr>
          <t xml:space="preserve">Total number of each part needed.
Gray -&gt; No manf# provided.
Red -&gt; No parts available.
Orange -&gt; Not enough parts available.
Yellow -&gt; Parts available, but haven't purchased enough.</t>
        </r>
      </text>
    </comment>
    <comment ref="F3" authorId="0">
      <text>
        <r>
          <rPr>
            <sz val="11"/>
            <color rgb="FF000000"/>
            <rFont val="Calibri"/>
            <family val="2"/>
            <charset val="1"/>
          </rPr>
          <t xml:space="preserve">Use the minimum extend price across distributors not taking account available quantities.</t>
        </r>
      </text>
    </comment>
    <comment ref="F6" authorId="0">
      <text>
        <r>
          <rPr>
            <sz val="11"/>
            <color rgb="FF000000"/>
            <rFont val="Calibri"/>
            <family val="2"/>
            <charset val="1"/>
          </rPr>
          <t xml:space="preserve">Minimum unit price for each part across all distributors.</t>
        </r>
      </text>
    </comment>
    <comment ref="G6" authorId="0">
      <text>
        <r>
          <rPr>
            <sz val="11"/>
            <color rgb="FF000000"/>
            <rFont val="Calibri"/>
            <family val="2"/>
            <charset val="1"/>
          </rPr>
          <t xml:space="preserve">Minimum extended price for each part across all distributors.</t>
        </r>
      </text>
    </comment>
  </commentList>
</comments>
</file>

<file path=xl/sharedStrings.xml><?xml version="1.0" encoding="utf-8"?>
<sst xmlns="http://schemas.openxmlformats.org/spreadsheetml/2006/main" count="118" uniqueCount="94">
  <si>
    <t xml:space="preserve">Prj:</t>
  </si>
  <si>
    <t xml:space="preserve">mqtt_gateway.xml</t>
  </si>
  <si>
    <t xml:space="preserve">Board Qty:</t>
  </si>
  <si>
    <t xml:space="preserve">Co.:</t>
  </si>
  <si>
    <t xml:space="preserve">Unit Cost:</t>
  </si>
  <si>
    <t xml:space="preserve">Prj date:</t>
  </si>
  <si>
    <t xml:space="preserve">Thu 17 Nov 2022 02:24:03 PM CET</t>
  </si>
  <si>
    <t xml:space="preserve">Total Cost:</t>
  </si>
  <si>
    <t xml:space="preserve">$ date:</t>
  </si>
  <si>
    <t xml:space="preserve">2022-11-17 14:24:04</t>
  </si>
  <si>
    <t xml:space="preserve">Global Part Info</t>
  </si>
  <si>
    <t xml:space="preserve">Refs</t>
  </si>
  <si>
    <t xml:space="preserve">Value</t>
  </si>
  <si>
    <t xml:space="preserve">Footprint</t>
  </si>
  <si>
    <t xml:space="preserve">Manf#</t>
  </si>
  <si>
    <t xml:space="preserve">Qty</t>
  </si>
  <si>
    <t xml:space="preserve">Unit$</t>
  </si>
  <si>
    <t xml:space="preserve">Ext$</t>
  </si>
  <si>
    <t xml:space="preserve">C1,C5,C12</t>
  </si>
  <si>
    <t xml:space="preserve">10u</t>
  </si>
  <si>
    <t xml:space="preserve">C_0603_1608Metric_Pad1.08x0.95mm_HandSolder</t>
  </si>
  <si>
    <t xml:space="preserve">C2,C3,C9,C13,C19</t>
  </si>
  <si>
    <t xml:space="preserve">100n</t>
  </si>
  <si>
    <t xml:space="preserve">C4,C6</t>
  </si>
  <si>
    <t xml:space="preserve">47u</t>
  </si>
  <si>
    <t xml:space="preserve">C_0805_2012Metric_Pad1.18x1.45mm_HandSolder</t>
  </si>
  <si>
    <t xml:space="preserve">C7,C8,C17</t>
  </si>
  <si>
    <t xml:space="preserve">C_0402_1005Metric_Pad0.74x0.62mm_HandSolder</t>
  </si>
  <si>
    <t xml:space="preserve">C14</t>
  </si>
  <si>
    <t xml:space="preserve">470p</t>
  </si>
  <si>
    <t xml:space="preserve">C15,C16</t>
  </si>
  <si>
    <t xml:space="preserve">1u</t>
  </si>
  <si>
    <t xml:space="preserve">C18</t>
  </si>
  <si>
    <t xml:space="preserve">20n</t>
  </si>
  <si>
    <t xml:space="preserve">C20</t>
  </si>
  <si>
    <t xml:space="preserve">FB1</t>
  </si>
  <si>
    <t xml:space="preserve">Ferrite_Bead_Small</t>
  </si>
  <si>
    <t xml:space="preserve">H1-H4</t>
  </si>
  <si>
    <t xml:space="preserve">MountingHole</t>
  </si>
  <si>
    <t xml:space="preserve">MountingHole_3.2mm_M3</t>
  </si>
  <si>
    <t xml:space="preserve">J1</t>
  </si>
  <si>
    <t xml:space="preserve">awesome:RJ45-CAN</t>
  </si>
  <si>
    <t xml:space="preserve">RJ45_OST_PJ012-8P8CX_Vertical</t>
  </si>
  <si>
    <t xml:space="preserve">J2,J5</t>
  </si>
  <si>
    <t xml:space="preserve">Button-Sensors-MicroMatch2X03</t>
  </si>
  <si>
    <t xml:space="preserve">02x03MicroMatch</t>
  </si>
  <si>
    <t xml:space="preserve">J3</t>
  </si>
  <si>
    <t xml:space="preserve">RJ45_Amphenol_RJMG1BD3B8K1ANR</t>
  </si>
  <si>
    <t xml:space="preserve">https://www.amphenolcanada.com/ProductSearch/Drawings/AC/RJMG1BD3B8K1ANR.PDF</t>
  </si>
  <si>
    <t xml:space="preserve">J4</t>
  </si>
  <si>
    <t xml:space="preserve">WAGO250-204</t>
  </si>
  <si>
    <t xml:space="preserve">https://cdn-reichelt.de/documents/datenblatt/C151/WAGO250-20X.pdf</t>
  </si>
  <si>
    <t xml:space="preserve">R1,R3-R5,R24,R29-R31</t>
  </si>
  <si>
    <t xml:space="preserve">100R</t>
  </si>
  <si>
    <t xml:space="preserve">R_0603_1608Metric_Pad0.98x0.95mm_HandSolder</t>
  </si>
  <si>
    <t xml:space="preserve">R2,R16</t>
  </si>
  <si>
    <t xml:space="preserve">33R</t>
  </si>
  <si>
    <t xml:space="preserve">R_0402_1005Metric_Pad0.72x0.64mm_HandSolder</t>
  </si>
  <si>
    <t xml:space="preserve">R6,R8,R9,R13,R25,R28</t>
  </si>
  <si>
    <t xml:space="preserve">10K</t>
  </si>
  <si>
    <t xml:space="preserve">R7</t>
  </si>
  <si>
    <t xml:space="preserve">12K1 1%</t>
  </si>
  <si>
    <t xml:space="preserve">R10,R11</t>
  </si>
  <si>
    <t xml:space="preserve">1K</t>
  </si>
  <si>
    <t xml:space="preserve">R12</t>
  </si>
  <si>
    <t xml:space="preserve">R</t>
  </si>
  <si>
    <t xml:space="preserve">R18</t>
  </si>
  <si>
    <t xml:space="preserve">R19</t>
  </si>
  <si>
    <t xml:space="preserve">R20-R23</t>
  </si>
  <si>
    <t xml:space="preserve">50R</t>
  </si>
  <si>
    <t xml:space="preserve">R26,R27,R32,R33</t>
  </si>
  <si>
    <t xml:space="preserve">2K2</t>
  </si>
  <si>
    <t xml:space="preserve">U1</t>
  </si>
  <si>
    <t xml:space="preserve">wuerthDebug6</t>
  </si>
  <si>
    <t xml:space="preserve">U2</t>
  </si>
  <si>
    <t xml:space="preserve">LD1117S33TR_SOT223</t>
  </si>
  <si>
    <t xml:space="preserve">SOT-223-3_TabPin2</t>
  </si>
  <si>
    <t xml:space="preserve">http://www.st.com/st-web-ui/static/active/en/resource/technical/document/datasheet/CD00000544.pdf</t>
  </si>
  <si>
    <t xml:space="preserve">U3</t>
  </si>
  <si>
    <t xml:space="preserve">PESD2CAN</t>
  </si>
  <si>
    <t xml:space="preserve">SOT-23</t>
  </si>
  <si>
    <t xml:space="preserve">U4</t>
  </si>
  <si>
    <t xml:space="preserve">MCP2562-E-SN</t>
  </si>
  <si>
    <t xml:space="preserve">SOIC-8_3.9x4.9mm_P1.27mm</t>
  </si>
  <si>
    <t xml:space="preserve">http://ww1.microchip.com/downloads/en/DeviceDoc/25167A.pdf</t>
  </si>
  <si>
    <t xml:space="preserve">U6</t>
  </si>
  <si>
    <t xml:space="preserve">ESP32-WROOM-32</t>
  </si>
  <si>
    <t xml:space="preserve">https://www.espressif.com/sites/default/files/documentation/esp32-wroom-32_datasheet_en.pdf</t>
  </si>
  <si>
    <t xml:space="preserve">U7</t>
  </si>
  <si>
    <t xml:space="preserve">LAN8720A</t>
  </si>
  <si>
    <t xml:space="preserve">QFN-24-1EP_4x4mm_P0.5mm_EP2.6x2.6mm</t>
  </si>
  <si>
    <t xml:space="preserve">http://ww1.microchip.com/downloads/en/DeviceDoc/8720a.pdf</t>
  </si>
  <si>
    <t xml:space="preserve">PCB</t>
  </si>
  <si>
    <t xml:space="preserve">KiCost® v1.1.12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</si>
</sst>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3"/>
      <color rgb="FF008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0303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AAAAA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303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amphenolcanada.com/ProductSearch/Drawings/AC/RJMG1BD3B8K1ANR.PDF" TargetMode="External"/><Relationship Id="rId3" Type="http://schemas.openxmlformats.org/officeDocument/2006/relationships/hyperlink" Target="https://cdn-reichelt.de/documents/datenblatt/C151/WAGO250-20X.pdf" TargetMode="External"/><Relationship Id="rId4" Type="http://schemas.openxmlformats.org/officeDocument/2006/relationships/hyperlink" Target="http://www.st.com/st-web-ui/static/active/en/resource/technical/document/datasheet/CD00000544.pdf" TargetMode="External"/><Relationship Id="rId5" Type="http://schemas.openxmlformats.org/officeDocument/2006/relationships/hyperlink" Target="http://ww1.microchip.com/downloads/en/DeviceDoc/25167A.pdf" TargetMode="External"/><Relationship Id="rId6" Type="http://schemas.openxmlformats.org/officeDocument/2006/relationships/hyperlink" Target="https://www.espressif.com/sites/default/files/documentation/esp32-wroom-32_datasheet_en.pdf" TargetMode="External"/><Relationship Id="rId7" Type="http://schemas.openxmlformats.org/officeDocument/2006/relationships/hyperlink" Target="http://ww1.microchip.com/downloads/en/DeviceDoc/8720a.pdf" TargetMode="External"/><Relationship Id="rId8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H7" activePane="bottomLeft" state="frozen"/>
      <selection pane="topLeft" activeCell="A1" activeCellId="0" sqref="A1"/>
      <selection pane="bottomLeft" activeCell="C7" activeCellId="0" sqref="C7"/>
    </sheetView>
  </sheetViews>
  <sheetFormatPr defaultColWidth="8.59765625" defaultRowHeight="15" zeroHeight="false" outlineLevelRow="0" outlineLevelCol="2"/>
  <cols>
    <col collapsed="false" customWidth="true" hidden="false" outlineLevel="0" max="1" min="1" style="1" width="21.71"/>
    <col collapsed="false" customWidth="true" hidden="false" outlineLevel="0" max="2" min="2" style="1" width="30.7"/>
    <col collapsed="false" customWidth="true" hidden="false" outlineLevel="2" max="3" min="3" style="1" width="33.71"/>
    <col collapsed="false" customWidth="true" hidden="false" outlineLevel="1" max="4" min="4" style="1" width="33.71"/>
    <col collapsed="false" customWidth="true" hidden="false" outlineLevel="1" max="5" min="5" style="1" width="9.14"/>
    <col collapsed="false" customWidth="true" hidden="false" outlineLevel="0" max="6" min="6" style="1" width="15.72"/>
    <col collapsed="false" customWidth="true" hidden="false" outlineLevel="0" max="7" min="7" style="1" width="16.72"/>
  </cols>
  <sheetData>
    <row r="1" customFormat="false" ht="15" hidden="false" customHeight="false" outlineLevel="0" collapsed="false">
      <c r="A1" s="2" t="s">
        <v>0</v>
      </c>
      <c r="B1" s="3" t="s">
        <v>1</v>
      </c>
      <c r="F1" s="4" t="s">
        <v>2</v>
      </c>
      <c r="G1" s="4" t="n">
        <v>1</v>
      </c>
    </row>
    <row r="2" customFormat="false" ht="15" hidden="false" customHeight="false" outlineLevel="0" collapsed="false">
      <c r="A2" s="2" t="s">
        <v>3</v>
      </c>
      <c r="B2" s="3"/>
      <c r="F2" s="2" t="s">
        <v>4</v>
      </c>
      <c r="G2" s="5" t="n">
        <f aca="false">TotalCost/BoardQty</f>
        <v>14.4242452830189</v>
      </c>
    </row>
    <row r="3" customFormat="false" ht="15" hidden="false" customHeight="false" outlineLevel="0" collapsed="false">
      <c r="A3" s="2" t="s">
        <v>5</v>
      </c>
      <c r="B3" s="3" t="s">
        <v>6</v>
      </c>
      <c r="F3" s="2" t="s">
        <v>7</v>
      </c>
      <c r="G3" s="6" t="n">
        <f aca="false">SUM(G7:G37)</f>
        <v>14.4242452830189</v>
      </c>
    </row>
    <row r="4" customFormat="false" ht="15" hidden="false" customHeight="false" outlineLevel="0" collapsed="false">
      <c r="A4" s="2" t="s">
        <v>8</v>
      </c>
      <c r="B4" s="3" t="s">
        <v>9</v>
      </c>
    </row>
    <row r="5" customFormat="false" ht="15" hidden="false" customHeight="false" outlineLevel="0" collapsed="false">
      <c r="A5" s="7" t="s">
        <v>10</v>
      </c>
      <c r="B5" s="7"/>
      <c r="C5" s="7"/>
      <c r="D5" s="7"/>
      <c r="E5" s="7"/>
      <c r="F5" s="7"/>
      <c r="G5" s="7"/>
    </row>
    <row r="6" customFormat="false" ht="15" hidden="false" customHeight="false" outlineLevel="0" collapsed="false">
      <c r="A6" s="8" t="s">
        <v>11</v>
      </c>
      <c r="B6" s="8" t="s">
        <v>12</v>
      </c>
      <c r="C6" s="8" t="s">
        <v>13</v>
      </c>
      <c r="D6" s="8" t="s">
        <v>14</v>
      </c>
      <c r="E6" s="8" t="s">
        <v>15</v>
      </c>
      <c r="F6" s="8" t="s">
        <v>16</v>
      </c>
      <c r="G6" s="8" t="s">
        <v>17</v>
      </c>
    </row>
    <row r="7" customFormat="false" ht="30" hidden="false" customHeight="true" outlineLevel="0" collapsed="false">
      <c r="A7" s="9" t="s">
        <v>18</v>
      </c>
      <c r="B7" s="9" t="s">
        <v>19</v>
      </c>
      <c r="C7" s="9" t="s">
        <v>20</v>
      </c>
      <c r="E7" s="10" t="n">
        <f aca="false">CEILING(BoardQty*3,1)</f>
        <v>3</v>
      </c>
      <c r="F7" s="1" t="n">
        <v>0.02</v>
      </c>
      <c r="G7" s="11" t="n">
        <f aca="false">IF(AND(ISNUMBER(E7),ISNUMBER(F7)),E7*F7,"")</f>
        <v>0.06</v>
      </c>
    </row>
    <row r="8" customFormat="false" ht="30" hidden="false" customHeight="true" outlineLevel="0" collapsed="false">
      <c r="A8" s="9" t="s">
        <v>21</v>
      </c>
      <c r="B8" s="9" t="s">
        <v>22</v>
      </c>
      <c r="C8" s="9" t="s">
        <v>20</v>
      </c>
      <c r="E8" s="10" t="n">
        <f aca="false">CEILING(BoardQty*5,1)</f>
        <v>5</v>
      </c>
      <c r="F8" s="1" t="n">
        <v>0.02</v>
      </c>
      <c r="G8" s="11" t="n">
        <f aca="false">IF(AND(ISNUMBER(E8),ISNUMBER(F8)),E8*F8,"")</f>
        <v>0.1</v>
      </c>
    </row>
    <row r="9" customFormat="false" ht="30" hidden="false" customHeight="true" outlineLevel="0" collapsed="false">
      <c r="A9" s="9" t="s">
        <v>23</v>
      </c>
      <c r="B9" s="9" t="s">
        <v>24</v>
      </c>
      <c r="C9" s="9" t="s">
        <v>25</v>
      </c>
      <c r="E9" s="10" t="n">
        <f aca="false">CEILING(BoardQty*2,1)</f>
        <v>2</v>
      </c>
      <c r="F9" s="1" t="n">
        <v>0.02</v>
      </c>
      <c r="G9" s="11" t="n">
        <f aca="false">IF(AND(ISNUMBER(E9),ISNUMBER(F9)),E9*F9,"")</f>
        <v>0.04</v>
      </c>
    </row>
    <row r="10" customFormat="false" ht="30" hidden="false" customHeight="true" outlineLevel="0" collapsed="false">
      <c r="A10" s="9" t="s">
        <v>26</v>
      </c>
      <c r="B10" s="9" t="s">
        <v>22</v>
      </c>
      <c r="C10" s="9" t="s">
        <v>27</v>
      </c>
      <c r="E10" s="10" t="n">
        <f aca="false">CEILING(BoardQty*3,1)</f>
        <v>3</v>
      </c>
      <c r="F10" s="1" t="n">
        <v>0.02</v>
      </c>
      <c r="G10" s="11" t="n">
        <f aca="false">IF(AND(ISNUMBER(E10),ISNUMBER(F10)),E10*F10,"")</f>
        <v>0.06</v>
      </c>
    </row>
    <row r="11" customFormat="false" ht="30" hidden="false" customHeight="true" outlineLevel="0" collapsed="false">
      <c r="A11" s="9" t="s">
        <v>28</v>
      </c>
      <c r="B11" s="9" t="s">
        <v>29</v>
      </c>
      <c r="C11" s="9" t="s">
        <v>27</v>
      </c>
      <c r="E11" s="10" t="n">
        <f aca="false">CEILING(BoardQty*1,1)</f>
        <v>1</v>
      </c>
      <c r="F11" s="1" t="n">
        <v>0.02</v>
      </c>
      <c r="G11" s="11" t="n">
        <f aca="false">IF(AND(ISNUMBER(E11),ISNUMBER(F11)),E11*F11,"")</f>
        <v>0.02</v>
      </c>
    </row>
    <row r="12" customFormat="false" ht="30" hidden="false" customHeight="true" outlineLevel="0" collapsed="false">
      <c r="A12" s="9" t="s">
        <v>30</v>
      </c>
      <c r="B12" s="9" t="s">
        <v>31</v>
      </c>
      <c r="C12" s="9" t="s">
        <v>27</v>
      </c>
      <c r="E12" s="10" t="n">
        <f aca="false">CEILING(BoardQty*2,1)</f>
        <v>2</v>
      </c>
      <c r="F12" s="1" t="n">
        <v>0.02</v>
      </c>
      <c r="G12" s="11" t="n">
        <f aca="false">IF(AND(ISNUMBER(E12),ISNUMBER(F12)),E12*F12,"")</f>
        <v>0.04</v>
      </c>
    </row>
    <row r="13" customFormat="false" ht="30" hidden="false" customHeight="true" outlineLevel="0" collapsed="false">
      <c r="A13" s="9" t="s">
        <v>32</v>
      </c>
      <c r="B13" s="9" t="s">
        <v>33</v>
      </c>
      <c r="C13" s="9" t="s">
        <v>20</v>
      </c>
      <c r="E13" s="10" t="n">
        <f aca="false">CEILING(BoardQty*1,1)</f>
        <v>1</v>
      </c>
      <c r="F13" s="1" t="n">
        <v>0.02</v>
      </c>
      <c r="G13" s="11" t="n">
        <f aca="false">IF(AND(ISNUMBER(E13),ISNUMBER(F13)),E13*F13,"")</f>
        <v>0.02</v>
      </c>
    </row>
    <row r="14" customFormat="false" ht="30" hidden="false" customHeight="true" outlineLevel="0" collapsed="false">
      <c r="A14" s="9" t="s">
        <v>34</v>
      </c>
      <c r="B14" s="9" t="s">
        <v>31</v>
      </c>
      <c r="C14" s="9" t="s">
        <v>20</v>
      </c>
      <c r="E14" s="10" t="n">
        <f aca="false">CEILING(BoardQty*1,1)</f>
        <v>1</v>
      </c>
      <c r="F14" s="1" t="n">
        <v>0.02</v>
      </c>
      <c r="G14" s="11" t="n">
        <f aca="false">IF(AND(ISNUMBER(E14),ISNUMBER(F14)),E14*F14,"")</f>
        <v>0.02</v>
      </c>
    </row>
    <row r="15" customFormat="false" ht="30" hidden="false" customHeight="true" outlineLevel="0" collapsed="false">
      <c r="A15" s="9" t="s">
        <v>35</v>
      </c>
      <c r="B15" s="9" t="s">
        <v>36</v>
      </c>
      <c r="C15" s="9" t="s">
        <v>25</v>
      </c>
      <c r="E15" s="10" t="n">
        <f aca="false">CEILING(BoardQty*1,1)</f>
        <v>1</v>
      </c>
      <c r="G15" s="11" t="str">
        <f aca="false">IF(AND(ISNUMBER(E15),ISNUMBER(F15)),E15*F15,"")</f>
        <v/>
      </c>
    </row>
    <row r="16" customFormat="false" ht="15" hidden="false" customHeight="false" outlineLevel="0" collapsed="false">
      <c r="A16" s="9" t="s">
        <v>37</v>
      </c>
      <c r="B16" s="9" t="s">
        <v>38</v>
      </c>
      <c r="C16" s="9" t="s">
        <v>39</v>
      </c>
      <c r="E16" s="10" t="n">
        <f aca="false">CEILING(BoardQty*4,1)</f>
        <v>4</v>
      </c>
      <c r="G16" s="11" t="str">
        <f aca="false">IF(AND(ISNUMBER(E16),ISNUMBER(F16)),E16*F16,"")</f>
        <v/>
      </c>
    </row>
    <row r="17" customFormat="false" ht="15" hidden="false" customHeight="false" outlineLevel="0" collapsed="false">
      <c r="A17" s="9" t="s">
        <v>40</v>
      </c>
      <c r="B17" s="9" t="s">
        <v>41</v>
      </c>
      <c r="C17" s="9" t="s">
        <v>42</v>
      </c>
      <c r="E17" s="10" t="n">
        <f aca="false">CEILING(BoardQty*1,1)</f>
        <v>1</v>
      </c>
      <c r="G17" s="11" t="str">
        <f aca="false">IF(AND(ISNUMBER(E17),ISNUMBER(F17)),E17*F17,"")</f>
        <v/>
      </c>
    </row>
    <row r="18" customFormat="false" ht="15" hidden="false" customHeight="false" outlineLevel="0" collapsed="false">
      <c r="A18" s="9" t="s">
        <v>43</v>
      </c>
      <c r="B18" s="9" t="s">
        <v>44</v>
      </c>
      <c r="C18" s="9" t="s">
        <v>45</v>
      </c>
      <c r="E18" s="10" t="n">
        <f aca="false">CEILING(BoardQty*2,1)</f>
        <v>2</v>
      </c>
      <c r="F18" s="1" t="n">
        <v>0.39</v>
      </c>
      <c r="G18" s="11" t="n">
        <f aca="false">IF(AND(ISNUMBER(E18),ISNUMBER(F18)),E18*F18,"")</f>
        <v>0.78</v>
      </c>
    </row>
    <row r="19" customFormat="false" ht="45" hidden="false" customHeight="true" outlineLevel="0" collapsed="false">
      <c r="A19" s="9" t="s">
        <v>46</v>
      </c>
      <c r="B19" s="9" t="s">
        <v>47</v>
      </c>
      <c r="C19" s="9" t="s">
        <v>47</v>
      </c>
      <c r="D19" s="9" t="s">
        <v>48</v>
      </c>
      <c r="E19" s="10" t="n">
        <f aca="false">CEILING(BoardQty*1,1)</f>
        <v>1</v>
      </c>
      <c r="F19" s="1" t="n">
        <v>4.8</v>
      </c>
      <c r="G19" s="11" t="n">
        <f aca="false">IF(AND(ISNUMBER(E19),ISNUMBER(F19)),E19*F19,"")</f>
        <v>4.8</v>
      </c>
    </row>
    <row r="20" customFormat="false" ht="45" hidden="false" customHeight="true" outlineLevel="0" collapsed="false">
      <c r="A20" s="9" t="s">
        <v>49</v>
      </c>
      <c r="B20" s="9" t="s">
        <v>50</v>
      </c>
      <c r="C20" s="9" t="s">
        <v>50</v>
      </c>
      <c r="D20" s="9" t="s">
        <v>51</v>
      </c>
      <c r="E20" s="10" t="n">
        <f aca="false">CEILING(BoardQty*1,1)</f>
        <v>1</v>
      </c>
      <c r="F20" s="1" t="n">
        <v>0.99</v>
      </c>
      <c r="G20" s="11" t="n">
        <f aca="false">IF(AND(ISNUMBER(E20),ISNUMBER(F20)),E20*F20,"")</f>
        <v>0.99</v>
      </c>
    </row>
    <row r="21" customFormat="false" ht="30" hidden="false" customHeight="true" outlineLevel="0" collapsed="false">
      <c r="A21" s="9" t="s">
        <v>52</v>
      </c>
      <c r="B21" s="9" t="s">
        <v>53</v>
      </c>
      <c r="C21" s="9" t="s">
        <v>54</v>
      </c>
      <c r="E21" s="10" t="n">
        <f aca="false">CEILING(BoardQty*8,1)</f>
        <v>8</v>
      </c>
      <c r="F21" s="1" t="n">
        <v>0.02</v>
      </c>
      <c r="G21" s="11" t="n">
        <f aca="false">IF(AND(ISNUMBER(E21),ISNUMBER(F21)),E21*F21,"")</f>
        <v>0.16</v>
      </c>
    </row>
    <row r="22" customFormat="false" ht="30" hidden="false" customHeight="true" outlineLevel="0" collapsed="false">
      <c r="A22" s="9" t="s">
        <v>55</v>
      </c>
      <c r="B22" s="9" t="s">
        <v>56</v>
      </c>
      <c r="C22" s="9" t="s">
        <v>57</v>
      </c>
      <c r="E22" s="10" t="n">
        <f aca="false">CEILING(BoardQty*2,1)</f>
        <v>2</v>
      </c>
      <c r="F22" s="1" t="n">
        <v>0.02</v>
      </c>
      <c r="G22" s="11" t="n">
        <f aca="false">IF(AND(ISNUMBER(E22),ISNUMBER(F22)),E22*F22,"")</f>
        <v>0.04</v>
      </c>
    </row>
    <row r="23" customFormat="false" ht="30" hidden="false" customHeight="true" outlineLevel="0" collapsed="false">
      <c r="A23" s="9" t="s">
        <v>58</v>
      </c>
      <c r="B23" s="9" t="s">
        <v>59</v>
      </c>
      <c r="C23" s="9" t="s">
        <v>54</v>
      </c>
      <c r="E23" s="10" t="n">
        <f aca="false">CEILING(BoardQty*6,1)</f>
        <v>6</v>
      </c>
      <c r="F23" s="1" t="n">
        <v>0.02</v>
      </c>
      <c r="G23" s="11" t="n">
        <f aca="false">IF(AND(ISNUMBER(E23),ISNUMBER(F23)),E23*F23,"")</f>
        <v>0.12</v>
      </c>
    </row>
    <row r="24" customFormat="false" ht="30" hidden="false" customHeight="true" outlineLevel="0" collapsed="false">
      <c r="A24" s="9" t="s">
        <v>60</v>
      </c>
      <c r="B24" s="9" t="s">
        <v>61</v>
      </c>
      <c r="C24" s="9" t="s">
        <v>54</v>
      </c>
      <c r="E24" s="10" t="n">
        <f aca="false">CEILING(BoardQty*1,1)</f>
        <v>1</v>
      </c>
      <c r="F24" s="1" t="n">
        <v>0.02</v>
      </c>
      <c r="G24" s="11" t="n">
        <f aca="false">IF(AND(ISNUMBER(E24),ISNUMBER(F24)),E24*F24,"")</f>
        <v>0.02</v>
      </c>
    </row>
    <row r="25" customFormat="false" ht="30" hidden="false" customHeight="true" outlineLevel="0" collapsed="false">
      <c r="A25" s="9" t="s">
        <v>62</v>
      </c>
      <c r="B25" s="9" t="s">
        <v>63</v>
      </c>
      <c r="C25" s="9" t="s">
        <v>54</v>
      </c>
      <c r="E25" s="10" t="n">
        <f aca="false">CEILING(BoardQty*2,1)</f>
        <v>2</v>
      </c>
      <c r="F25" s="1" t="n">
        <v>0.02</v>
      </c>
      <c r="G25" s="11" t="n">
        <f aca="false">IF(AND(ISNUMBER(E25),ISNUMBER(F25)),E25*F25,"")</f>
        <v>0.04</v>
      </c>
    </row>
    <row r="26" customFormat="false" ht="30" hidden="false" customHeight="true" outlineLevel="0" collapsed="false">
      <c r="A26" s="9" t="s">
        <v>64</v>
      </c>
      <c r="B26" s="9" t="s">
        <v>65</v>
      </c>
      <c r="C26" s="9" t="s">
        <v>54</v>
      </c>
      <c r="E26" s="10" t="n">
        <f aca="false">CEILING(BoardQty*1,1)</f>
        <v>1</v>
      </c>
      <c r="F26" s="1" t="n">
        <v>0.02</v>
      </c>
      <c r="G26" s="11" t="n">
        <f aca="false">IF(AND(ISNUMBER(E26),ISNUMBER(F26)),E26*F26,"")</f>
        <v>0.02</v>
      </c>
    </row>
    <row r="27" customFormat="false" ht="30" hidden="false" customHeight="true" outlineLevel="0" collapsed="false">
      <c r="A27" s="9" t="s">
        <v>66</v>
      </c>
      <c r="B27" s="9" t="s">
        <v>59</v>
      </c>
      <c r="C27" s="9" t="s">
        <v>57</v>
      </c>
      <c r="E27" s="10" t="n">
        <f aca="false">CEILING(BoardQty*1,1)</f>
        <v>1</v>
      </c>
      <c r="F27" s="1" t="n">
        <v>0.02</v>
      </c>
      <c r="G27" s="11" t="n">
        <f aca="false">IF(AND(ISNUMBER(E27),ISNUMBER(F27)),E27*F27,"")</f>
        <v>0.02</v>
      </c>
    </row>
    <row r="28" customFormat="false" ht="30" hidden="false" customHeight="true" outlineLevel="0" collapsed="false">
      <c r="A28" s="9" t="s">
        <v>67</v>
      </c>
      <c r="B28" s="9" t="s">
        <v>56</v>
      </c>
      <c r="C28" s="9" t="s">
        <v>54</v>
      </c>
      <c r="E28" s="10" t="n">
        <f aca="false">CEILING(BoardQty*1,1)</f>
        <v>1</v>
      </c>
      <c r="F28" s="1" t="n">
        <v>0.02</v>
      </c>
      <c r="G28" s="11" t="n">
        <f aca="false">IF(AND(ISNUMBER(E28),ISNUMBER(F28)),E28*F28,"")</f>
        <v>0.02</v>
      </c>
    </row>
    <row r="29" customFormat="false" ht="30" hidden="false" customHeight="true" outlineLevel="0" collapsed="false">
      <c r="A29" s="9" t="s">
        <v>68</v>
      </c>
      <c r="B29" s="9" t="s">
        <v>69</v>
      </c>
      <c r="C29" s="9" t="s">
        <v>54</v>
      </c>
      <c r="E29" s="10" t="n">
        <f aca="false">CEILING(BoardQty*4,1)</f>
        <v>4</v>
      </c>
      <c r="F29" s="1" t="n">
        <v>0.02</v>
      </c>
      <c r="G29" s="11" t="n">
        <f aca="false">IF(AND(ISNUMBER(E29),ISNUMBER(F29)),E29*F29,"")</f>
        <v>0.08</v>
      </c>
    </row>
    <row r="30" customFormat="false" ht="30" hidden="false" customHeight="true" outlineLevel="0" collapsed="false">
      <c r="A30" s="9" t="s">
        <v>70</v>
      </c>
      <c r="B30" s="9" t="s">
        <v>71</v>
      </c>
      <c r="C30" s="9" t="s">
        <v>54</v>
      </c>
      <c r="E30" s="10" t="n">
        <f aca="false">CEILING(BoardQty*4,1)</f>
        <v>4</v>
      </c>
      <c r="F30" s="1" t="n">
        <v>0.02</v>
      </c>
      <c r="G30" s="11" t="n">
        <f aca="false">IF(AND(ISNUMBER(E30),ISNUMBER(F30)),E30*F30,"")</f>
        <v>0.08</v>
      </c>
    </row>
    <row r="31" customFormat="false" ht="15" hidden="false" customHeight="false" outlineLevel="0" collapsed="false">
      <c r="A31" s="9" t="s">
        <v>72</v>
      </c>
      <c r="B31" s="9" t="s">
        <v>73</v>
      </c>
      <c r="C31" s="9" t="s">
        <v>73</v>
      </c>
      <c r="E31" s="10" t="n">
        <f aca="false">CEILING(BoardQty*1,1)</f>
        <v>1</v>
      </c>
      <c r="G31" s="11" t="str">
        <f aca="false">IF(AND(ISNUMBER(E31),ISNUMBER(F31)),E31*F31,"")</f>
        <v/>
      </c>
    </row>
    <row r="32" customFormat="false" ht="60" hidden="false" customHeight="true" outlineLevel="0" collapsed="false">
      <c r="A32" s="9" t="s">
        <v>74</v>
      </c>
      <c r="B32" s="9" t="s">
        <v>75</v>
      </c>
      <c r="C32" s="9" t="s">
        <v>76</v>
      </c>
      <c r="D32" s="9" t="s">
        <v>77</v>
      </c>
      <c r="E32" s="10" t="n">
        <f aca="false">CEILING(BoardQty*1,1)</f>
        <v>1</v>
      </c>
      <c r="F32" s="1" t="n">
        <v>0.52</v>
      </c>
      <c r="G32" s="11" t="n">
        <f aca="false">IF(AND(ISNUMBER(E32),ISNUMBER(F32)),E32*F32,"")</f>
        <v>0.52</v>
      </c>
    </row>
    <row r="33" customFormat="false" ht="15" hidden="false" customHeight="false" outlineLevel="0" collapsed="false">
      <c r="A33" s="9" t="s">
        <v>78</v>
      </c>
      <c r="B33" s="9" t="s">
        <v>79</v>
      </c>
      <c r="C33" s="9" t="s">
        <v>80</v>
      </c>
      <c r="E33" s="10" t="n">
        <f aca="false">CEILING(BoardQty*1,1)</f>
        <v>1</v>
      </c>
      <c r="F33" s="1" t="n">
        <v>0.3</v>
      </c>
      <c r="G33" s="11" t="n">
        <f aca="false">IF(AND(ISNUMBER(E33),ISNUMBER(F33)),E33*F33,"")</f>
        <v>0.3</v>
      </c>
    </row>
    <row r="34" customFormat="false" ht="30" hidden="false" customHeight="true" outlineLevel="0" collapsed="false">
      <c r="A34" s="9" t="s">
        <v>81</v>
      </c>
      <c r="B34" s="9" t="s">
        <v>82</v>
      </c>
      <c r="C34" s="9" t="s">
        <v>83</v>
      </c>
      <c r="D34" s="9" t="s">
        <v>84</v>
      </c>
      <c r="E34" s="10" t="n">
        <f aca="false">CEILING(BoardQty*1,1)</f>
        <v>1</v>
      </c>
      <c r="F34" s="1" t="n">
        <v>1.22</v>
      </c>
      <c r="G34" s="11" t="n">
        <f aca="false">IF(AND(ISNUMBER(E34),ISNUMBER(F34)),E34*F34,"")</f>
        <v>1.22</v>
      </c>
    </row>
    <row r="35" customFormat="false" ht="45" hidden="false" customHeight="true" outlineLevel="0" collapsed="false">
      <c r="A35" s="9" t="s">
        <v>85</v>
      </c>
      <c r="B35" s="9" t="s">
        <v>86</v>
      </c>
      <c r="C35" s="9" t="s">
        <v>86</v>
      </c>
      <c r="D35" s="9" t="s">
        <v>87</v>
      </c>
      <c r="E35" s="10" t="n">
        <f aca="false">CEILING(BoardQty*1,1)</f>
        <v>1</v>
      </c>
      <c r="F35" s="1" t="n">
        <v>2.77</v>
      </c>
      <c r="G35" s="11" t="n">
        <f aca="false">IF(AND(ISNUMBER(E35),ISNUMBER(F35)),E35*F35,"")</f>
        <v>2.77</v>
      </c>
    </row>
    <row r="36" customFormat="false" ht="30" hidden="false" customHeight="true" outlineLevel="0" collapsed="false">
      <c r="A36" s="9" t="s">
        <v>88</v>
      </c>
      <c r="B36" s="9" t="s">
        <v>89</v>
      </c>
      <c r="C36" s="9" t="s">
        <v>90</v>
      </c>
      <c r="D36" s="9" t="s">
        <v>91</v>
      </c>
      <c r="E36" s="10" t="n">
        <f aca="false">CEILING(BoardQty*1,1)</f>
        <v>1</v>
      </c>
      <c r="G36" s="11" t="str">
        <f aca="false">IF(AND(ISNUMBER(E36),ISNUMBER(F36)),E36*F36,"")</f>
        <v/>
      </c>
    </row>
    <row r="37" customFormat="false" ht="16.4" hidden="false" customHeight="false" outlineLevel="0" collapsed="false">
      <c r="A37" s="1" t="s">
        <v>92</v>
      </c>
      <c r="B37" s="1" t="s">
        <v>92</v>
      </c>
      <c r="C37" s="1" t="s">
        <v>92</v>
      </c>
      <c r="E37" s="10" t="n">
        <f aca="false">CEILING(BoardQty*1,1)</f>
        <v>1</v>
      </c>
      <c r="F37" s="1" t="n">
        <f aca="false">1.56+55.57/106</f>
        <v>2.08424528301887</v>
      </c>
      <c r="G37" s="11" t="n">
        <f aca="false">IF(AND(ISNUMBER(E37),ISNUMBER(F37)),E37*F37,"")</f>
        <v>2.08424528301887</v>
      </c>
    </row>
    <row r="39" customFormat="false" ht="15" hidden="false" customHeight="false" outlineLevel="0" collapsed="false">
      <c r="A39" s="3" t="s">
        <v>93</v>
      </c>
    </row>
  </sheetData>
  <mergeCells count="1">
    <mergeCell ref="A5:G5"/>
  </mergeCells>
  <conditionalFormatting sqref="E10">
    <cfRule type="expression" priority="2" aboveAverage="0" equalAverage="0" bottom="0" percent="0" rank="0" text="" dxfId="0">
      <formula>AND(ISBLANK(D10),TRUE())</formula>
    </cfRule>
  </conditionalFormatting>
  <conditionalFormatting sqref="E11">
    <cfRule type="expression" priority="3" aboveAverage="0" equalAverage="0" bottom="0" percent="0" rank="0" text="" dxfId="0">
      <formula>AND(ISBLANK(D11),TRUE())</formula>
    </cfRule>
  </conditionalFormatting>
  <conditionalFormatting sqref="E12">
    <cfRule type="expression" priority="4" aboveAverage="0" equalAverage="0" bottom="0" percent="0" rank="0" text="" dxfId="0">
      <formula>AND(ISBLANK(D12),TRUE())</formula>
    </cfRule>
  </conditionalFormatting>
  <conditionalFormatting sqref="E13">
    <cfRule type="expression" priority="5" aboveAverage="0" equalAverage="0" bottom="0" percent="0" rank="0" text="" dxfId="0">
      <formula>AND(ISBLANK(D13),TRUE())</formula>
    </cfRule>
  </conditionalFormatting>
  <conditionalFormatting sqref="E14">
    <cfRule type="expression" priority="6" aboveAverage="0" equalAverage="0" bottom="0" percent="0" rank="0" text="" dxfId="0">
      <formula>AND(ISBLANK(D14),TRUE())</formula>
    </cfRule>
  </conditionalFormatting>
  <conditionalFormatting sqref="E15">
    <cfRule type="expression" priority="7" aboveAverage="0" equalAverage="0" bottom="0" percent="0" rank="0" text="" dxfId="0">
      <formula>AND(ISBLANK(D15),TRUE())</formula>
    </cfRule>
  </conditionalFormatting>
  <conditionalFormatting sqref="E16">
    <cfRule type="expression" priority="8" aboveAverage="0" equalAverage="0" bottom="0" percent="0" rank="0" text="" dxfId="0">
      <formula>AND(ISBLANK(D16),TRUE())</formula>
    </cfRule>
  </conditionalFormatting>
  <conditionalFormatting sqref="E17">
    <cfRule type="expression" priority="9" aboveAverage="0" equalAverage="0" bottom="0" percent="0" rank="0" text="" dxfId="0">
      <formula>AND(ISBLANK(D17),TRUE())</formula>
    </cfRule>
  </conditionalFormatting>
  <conditionalFormatting sqref="E18">
    <cfRule type="expression" priority="10" aboveAverage="0" equalAverage="0" bottom="0" percent="0" rank="0" text="" dxfId="0">
      <formula>AND(ISBLANK(D18),TRUE())</formula>
    </cfRule>
  </conditionalFormatting>
  <conditionalFormatting sqref="E19">
    <cfRule type="expression" priority="11" aboveAverage="0" equalAverage="0" bottom="0" percent="0" rank="0" text="" dxfId="0">
      <formula>AND(ISBLANK(D19),TRUE())</formula>
    </cfRule>
  </conditionalFormatting>
  <conditionalFormatting sqref="E20">
    <cfRule type="expression" priority="12" aboveAverage="0" equalAverage="0" bottom="0" percent="0" rank="0" text="" dxfId="0">
      <formula>AND(ISBLANK(D20),TRUE())</formula>
    </cfRule>
  </conditionalFormatting>
  <conditionalFormatting sqref="E21">
    <cfRule type="expression" priority="13" aboveAverage="0" equalAverage="0" bottom="0" percent="0" rank="0" text="" dxfId="0">
      <formula>AND(ISBLANK(D21),TRUE())</formula>
    </cfRule>
  </conditionalFormatting>
  <conditionalFormatting sqref="E22">
    <cfRule type="expression" priority="14" aboveAverage="0" equalAverage="0" bottom="0" percent="0" rank="0" text="" dxfId="0">
      <formula>AND(ISBLANK(D22),TRUE())</formula>
    </cfRule>
  </conditionalFormatting>
  <conditionalFormatting sqref="E23">
    <cfRule type="expression" priority="15" aboveAverage="0" equalAverage="0" bottom="0" percent="0" rank="0" text="" dxfId="0">
      <formula>AND(ISBLANK(D23),TRUE())</formula>
    </cfRule>
  </conditionalFormatting>
  <conditionalFormatting sqref="E24">
    <cfRule type="expression" priority="16" aboveAverage="0" equalAverage="0" bottom="0" percent="0" rank="0" text="" dxfId="0">
      <formula>AND(ISBLANK(D24),TRUE())</formula>
    </cfRule>
  </conditionalFormatting>
  <conditionalFormatting sqref="E25">
    <cfRule type="expression" priority="17" aboveAverage="0" equalAverage="0" bottom="0" percent="0" rank="0" text="" dxfId="0">
      <formula>AND(ISBLANK(D25),TRUE())</formula>
    </cfRule>
  </conditionalFormatting>
  <conditionalFormatting sqref="E26">
    <cfRule type="expression" priority="18" aboveAverage="0" equalAverage="0" bottom="0" percent="0" rank="0" text="" dxfId="0">
      <formula>AND(ISBLANK(D26),TRUE())</formula>
    </cfRule>
  </conditionalFormatting>
  <conditionalFormatting sqref="E27">
    <cfRule type="expression" priority="19" aboveAverage="0" equalAverage="0" bottom="0" percent="0" rank="0" text="" dxfId="0">
      <formula>AND(ISBLANK(D27),TRUE())</formula>
    </cfRule>
  </conditionalFormatting>
  <conditionalFormatting sqref="E28">
    <cfRule type="expression" priority="20" aboveAverage="0" equalAverage="0" bottom="0" percent="0" rank="0" text="" dxfId="0">
      <formula>AND(ISBLANK(D28),TRUE())</formula>
    </cfRule>
  </conditionalFormatting>
  <conditionalFormatting sqref="E29">
    <cfRule type="expression" priority="21" aboveAverage="0" equalAverage="0" bottom="0" percent="0" rank="0" text="" dxfId="0">
      <formula>AND(ISBLANK(D29),TRUE())</formula>
    </cfRule>
  </conditionalFormatting>
  <conditionalFormatting sqref="E30">
    <cfRule type="expression" priority="22" aboveAverage="0" equalAverage="0" bottom="0" percent="0" rank="0" text="" dxfId="0">
      <formula>AND(ISBLANK(D30),TRUE())</formula>
    </cfRule>
  </conditionalFormatting>
  <conditionalFormatting sqref="E31">
    <cfRule type="expression" priority="23" aboveAverage="0" equalAverage="0" bottom="0" percent="0" rank="0" text="" dxfId="0">
      <formula>AND(ISBLANK(D31),TRUE())</formula>
    </cfRule>
  </conditionalFormatting>
  <conditionalFormatting sqref="E32">
    <cfRule type="expression" priority="24" aboveAverage="0" equalAverage="0" bottom="0" percent="0" rank="0" text="" dxfId="0">
      <formula>AND(ISBLANK(D32),TRUE())</formula>
    </cfRule>
  </conditionalFormatting>
  <conditionalFormatting sqref="E33">
    <cfRule type="expression" priority="25" aboveAverage="0" equalAverage="0" bottom="0" percent="0" rank="0" text="" dxfId="0">
      <formula>AND(ISBLANK(D33),TRUE())</formula>
    </cfRule>
  </conditionalFormatting>
  <conditionalFormatting sqref="E34">
    <cfRule type="expression" priority="26" aboveAverage="0" equalAverage="0" bottom="0" percent="0" rank="0" text="" dxfId="0">
      <formula>AND(ISBLANK(D34),TRUE())</formula>
    </cfRule>
  </conditionalFormatting>
  <conditionalFormatting sqref="E35">
    <cfRule type="expression" priority="27" aboveAverage="0" equalAverage="0" bottom="0" percent="0" rank="0" text="" dxfId="0">
      <formula>AND(ISBLANK(D35),TRUE())</formula>
    </cfRule>
  </conditionalFormatting>
  <conditionalFormatting sqref="E36:E37">
    <cfRule type="expression" priority="28" aboveAverage="0" equalAverage="0" bottom="0" percent="0" rank="0" text="" dxfId="0">
      <formula>AND(ISBLANK(D36),TRUE())</formula>
    </cfRule>
  </conditionalFormatting>
  <conditionalFormatting sqref="E7">
    <cfRule type="expression" priority="29" aboveAverage="0" equalAverage="0" bottom="0" percent="0" rank="0" text="" dxfId="0">
      <formula>AND(ISBLANK(D7),TRUE())</formula>
    </cfRule>
  </conditionalFormatting>
  <conditionalFormatting sqref="E8">
    <cfRule type="expression" priority="30" aboveAverage="0" equalAverage="0" bottom="0" percent="0" rank="0" text="" dxfId="0">
      <formula>AND(ISBLANK(D8),TRUE())</formula>
    </cfRule>
  </conditionalFormatting>
  <conditionalFormatting sqref="E9">
    <cfRule type="expression" priority="31" aboveAverage="0" equalAverage="0" bottom="0" percent="0" rank="0" text="" dxfId="0">
      <formula>AND(ISBLANK(D9),TRUE())</formula>
    </cfRule>
  </conditionalFormatting>
  <hyperlinks>
    <hyperlink ref="D19" r:id="rId2" display="https://www.amphenolcanada.com/ProductSearch/Drawings/AC/RJMG1BD3B8K1ANR.PDF"/>
    <hyperlink ref="D20" r:id="rId3" display="https://cdn-reichelt.de/documents/datenblatt/C151/WAGO250-20X.pdf"/>
    <hyperlink ref="D32" r:id="rId4" display="http://www.st.com/st-web-ui/static/active/en/resource/technical/document/datasheet/CD00000544.pdf"/>
    <hyperlink ref="D34" r:id="rId5" display="http://ww1.microchip.com/downloads/en/DeviceDoc/25167A.pdf"/>
    <hyperlink ref="D35" r:id="rId6" display="https://www.espressif.com/sites/default/files/documentation/esp32-wroom-32_datasheet_en.pdf"/>
    <hyperlink ref="D36" r:id="rId7" display="http://ww1.microchip.com/downloads/en/DeviceDoc/8720a.pd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LibreOffice/7.4.2.3$Linux_X86_64 LibreOffice_project/40$Build-3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2022-11-17T13:24:04Z</dcterms:created>
  <dc:creator/>
  <dc:description/>
  <dc:language>de-DE</dc:language>
  <cp:lastModifiedBy/>
  <dcterms:modified xsi:type="dcterms:W3CDTF">2022-11-17T20:54:39Z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